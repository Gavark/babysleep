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ur" sheetId="1" state="visible" r:id="rId1"/>
    <sheet xmlns:r="http://schemas.openxmlformats.org/officeDocument/2006/relationships" name="Historique" sheetId="2" state="visible" r:id="rId2"/>
    <sheet xmlns:r="http://schemas.openxmlformats.org/officeDocument/2006/relationships"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hh:mm"/>
    <numFmt numFmtId="165" formatCode="0.0"/>
    <numFmt numFmtId="166" formatCode="+0&quot; min&quot;;-0&quot; min&quot;;&quot;à l'heure&quot;"/>
    <numFmt numFmtId="167" formatCode="[h]:mm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8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color rgb="00262626"/>
      <sz val="11"/>
    </font>
    <font>
      <name val="Calibri"/>
      <b val="1"/>
      <color rgb="001F4E78"/>
      <sz val="11"/>
    </font>
    <font>
      <name val="Calibri"/>
      <b val="1"/>
      <color rgb="009C5700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7F7F7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1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49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7" fontId="6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 wrapText="1"/>
    </xf>
    <xf numFmtId="168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4" customWidth="1" min="3" max="3"/>
  </cols>
  <sheetData>
    <row r="1" ht="32" customHeight="1">
      <c r="A1" s="1" t="inlineStr">
        <is>
          <t>🍼 Calculateur de siestes et coucher</t>
        </is>
      </c>
    </row>
    <row r="2" ht="18" customHeight="1">
      <c r="A2" s="2" t="inlineStr">
        <is>
          <t>Saisis uniquement les cases jaunes. Tout le reste se calcule automatiquement.</t>
        </is>
      </c>
    </row>
    <row r="4" ht="22" customHeight="1">
      <c r="A4" s="3" t="inlineStr">
        <is>
          <t>👶 Profil de l'enfant</t>
        </is>
      </c>
    </row>
    <row r="5">
      <c r="A5" s="4" t="inlineStr">
        <is>
          <t>Âge en mois</t>
        </is>
      </c>
      <c r="B5" s="5" t="n">
        <v>6</v>
      </c>
    </row>
    <row r="6">
      <c r="A6" s="4" t="inlineStr">
        <is>
          <t>Heure de réveil souhaitée le matin</t>
        </is>
      </c>
      <c r="B6" s="6" t="n">
        <v>0.2916666666666667</v>
      </c>
    </row>
    <row r="8" ht="22" customHeight="1">
      <c r="A8" s="3" t="inlineStr">
        <is>
          <t>📊 Recommandations pour cet âge</t>
        </is>
      </c>
    </row>
    <row r="9">
      <c r="A9" s="4" t="inlineStr">
        <is>
          <t>Tranche d'âge correspondante</t>
        </is>
      </c>
      <c r="B9" s="7">
        <f>INDEX(Paramètres!A2:A9, MATCH(B5, Paramètres!B2:B9, 1))</f>
        <v/>
      </c>
    </row>
    <row r="10">
      <c r="A10" s="4" t="inlineStr">
        <is>
          <t>Nombre de siestes recommandé</t>
        </is>
      </c>
      <c r="B10" s="8">
        <f>VLOOKUP(B5, Paramètres!B2:H9, 3, TRUE)</f>
        <v/>
      </c>
    </row>
    <row r="11">
      <c r="A11" s="4" t="inlineStr">
        <is>
          <t>Fenêtre d'éveil entre siestes (min)</t>
        </is>
      </c>
      <c r="B11" s="8">
        <f>VLOOKUP(B5, Paramètres!B2:H9, 4, TRUE)</f>
        <v/>
      </c>
    </row>
    <row r="12">
      <c r="A12" s="4" t="inlineStr">
        <is>
          <t>Fenêtre d'éveil avant coucher (min)</t>
        </is>
      </c>
      <c r="B12" s="8">
        <f>VLOOKUP(B5, Paramètres!B2:H9, 5, TRUE)</f>
        <v/>
      </c>
    </row>
    <row r="13">
      <c r="A13" s="4" t="inlineStr">
        <is>
          <t>Sommeil de nuit recommandé (h)</t>
        </is>
      </c>
      <c r="B13" s="9">
        <f>VLOOKUP(B5, Paramètres!B2:H9, 6, TRUE)</f>
        <v/>
      </c>
    </row>
    <row r="14">
      <c r="A14" s="4" t="inlineStr">
        <is>
          <t>⭐ Coucher idéal (pour réveil souhaité)</t>
        </is>
      </c>
      <c r="B14" s="10">
        <f>MOD(B6 - B13/24, 1)</f>
        <v/>
      </c>
    </row>
    <row r="16" ht="22" customHeight="1">
      <c r="A16" s="3" t="inlineStr">
        <is>
          <t>🗓️ Plan de la journée</t>
        </is>
      </c>
    </row>
    <row r="17">
      <c r="A17" s="4" t="inlineStr">
        <is>
          <t>Réveil ce matin</t>
        </is>
      </c>
      <c r="B17" s="6" t="n"/>
    </row>
    <row r="18">
      <c r="A18" s="4" t="inlineStr">
        <is>
          <t>💤 Sieste 1 suggérée vers</t>
        </is>
      </c>
      <c r="B18" s="11">
        <f>MOD(B17 + B11/1440, 1)</f>
        <v/>
      </c>
    </row>
    <row r="19">
      <c r="A19" s="4" t="inlineStr">
        <is>
          <t xml:space="preserve">  → Fin réelle sieste 1</t>
        </is>
      </c>
      <c r="B19" s="6" t="n"/>
    </row>
    <row r="20">
      <c r="A20" s="4" t="inlineStr">
        <is>
          <t>💤 Sieste 2 suggérée vers</t>
        </is>
      </c>
      <c r="B20" s="11">
        <f>IF(ISBLANK(B19),"",MOD(B19 + B11/1440, 1))</f>
        <v/>
      </c>
    </row>
    <row r="21">
      <c r="A21" s="4" t="inlineStr">
        <is>
          <t xml:space="preserve">  → Fin réelle sieste 2</t>
        </is>
      </c>
      <c r="B21" s="6" t="n"/>
    </row>
    <row r="22">
      <c r="A22" s="4" t="inlineStr">
        <is>
          <t>💤 Sieste 3 suggérée vers</t>
        </is>
      </c>
      <c r="B22" s="11">
        <f>IF(ISBLANK(B21),"",MOD(B21 + B11/1440, 1))</f>
        <v/>
      </c>
    </row>
    <row r="23">
      <c r="A23" s="4" t="inlineStr">
        <is>
          <t xml:space="preserve">  → Fin réelle sieste 3</t>
        </is>
      </c>
      <c r="B23" s="6" t="n"/>
    </row>
    <row r="24">
      <c r="A24" s="4" t="inlineStr">
        <is>
          <t>💤 Sieste 4 suggérée vers (jeunes bébés)</t>
        </is>
      </c>
      <c r="B24" s="11">
        <f>IF(ISBLANK(B23),"",MOD(B23 + B11/1440, 1))</f>
        <v/>
      </c>
    </row>
    <row r="25">
      <c r="A25" s="4" t="inlineStr">
        <is>
          <t xml:space="preserve">  → Fin réelle sieste 4</t>
        </is>
      </c>
      <c r="B25" s="6" t="n"/>
    </row>
    <row r="27">
      <c r="A27" s="4" t="inlineStr">
        <is>
          <t>⭐ Coucher suggéré ce soir</t>
        </is>
      </c>
      <c r="B27" s="10">
        <f>IF(AND(ISBLANK(B19),ISBLANK(B21),ISBLANK(B23),ISBLANK(B25)),B14,MOD(MAX(B17,B19,B21,B23,B25) + B12/1440, 1))</f>
        <v/>
      </c>
    </row>
    <row r="28">
      <c r="A28" s="4" t="inlineStr">
        <is>
          <t>🛏️ Coucher effectif (à remplir le soir)</t>
        </is>
      </c>
      <c r="B28" s="6" t="n"/>
    </row>
    <row r="29">
      <c r="A29" s="4" t="inlineStr">
        <is>
          <t>Écart vs coucher idéal</t>
        </is>
      </c>
      <c r="B29" s="12">
        <f>IF(ISBLANK(B28), ROUND((B27-B14)*1440,0), ROUND((B28-B14)*1440,0))</f>
        <v/>
      </c>
    </row>
    <row r="30">
      <c r="A30" s="13" t="inlineStr">
        <is>
          <t>💾 Enregistrer la journée → cocher la case</t>
        </is>
      </c>
      <c r="B30" s="14" t="b">
        <v>0</v>
      </c>
    </row>
    <row r="32" ht="22" customHeight="1">
      <c r="A32" s="3" t="inlineStr">
        <is>
          <t>⚙️ Configuration initiale (une fois)</t>
        </is>
      </c>
    </row>
    <row r="33" ht="18" customHeight="1">
      <c r="A33" s="4" t="inlineStr">
        <is>
          <t>1. Insertion → Case à cocher sur B30 (la cellule orange à droite).</t>
        </is>
      </c>
    </row>
    <row r="34" ht="18" customHeight="1">
      <c r="A34" s="4" t="inlineStr">
        <is>
          <t>2. Extensions → Apps Script → coller le contenu de enregistrer_jour.gs → Enregistrer.</t>
        </is>
      </c>
    </row>
    <row r="35" ht="18" customHeight="1">
      <c r="A35" s="4" t="inlineStr">
        <is>
          <t>3. Tester : remplir B17 (réveil), cocher B30 → la journée part dans l'Historique.</t>
        </is>
      </c>
    </row>
    <row r="36" ht="18" customHeight="1">
      <c r="A36" s="4" t="inlineStr">
        <is>
          <t>4. Compatible mobile : ouvrir le fichier dans l'app Google Sheets et cocher B30 depuis ton tél.</t>
        </is>
      </c>
    </row>
    <row r="38" ht="22" customHeight="1">
      <c r="A38" s="3" t="inlineStr">
        <is>
          <t>💡 Rappels</t>
        </is>
      </c>
    </row>
    <row r="39" ht="18" customHeight="1">
      <c r="A39" s="4" t="inlineStr">
        <is>
          <t>• Surveiller les signes de fatigue plutôt que l'horloge stricte.</t>
        </is>
      </c>
    </row>
    <row r="40" ht="18" customHeight="1">
      <c r="A40" s="4" t="inlineStr">
        <is>
          <t>• Dernière sieste ≥ 2h-3h avant le coucher.</t>
        </is>
      </c>
    </row>
    <row r="41" ht="18" customHeight="1">
      <c r="A41" s="4" t="inlineStr">
        <is>
          <t>• Bébé surfatigué = plus dur à endormir, mieux vaut coucher trop tôt.</t>
        </is>
      </c>
    </row>
    <row r="42" ht="18" customHeight="1">
      <c r="A42" s="4" t="inlineStr">
        <is>
          <t>• Régularité &gt; précision : viser le créneau, pas la minute exacte.</t>
        </is>
      </c>
    </row>
    <row r="43" ht="18" customHeight="1">
      <c r="A43" s="4" t="inlineStr">
        <is>
          <t>• Si coucher suggéré très en retard sur l'idéal, raccourcir la dernière sieste demain.</t>
        </is>
      </c>
    </row>
  </sheetData>
  <mergeCells count="16">
    <mergeCell ref="A4:B4"/>
    <mergeCell ref="A38:B38"/>
    <mergeCell ref="A16:B16"/>
    <mergeCell ref="A2:B2"/>
    <mergeCell ref="A43:B43"/>
    <mergeCell ref="A41:B41"/>
    <mergeCell ref="A33:B33"/>
    <mergeCell ref="A42:B42"/>
    <mergeCell ref="A32:B32"/>
    <mergeCell ref="A36:B36"/>
    <mergeCell ref="A1:B1"/>
    <mergeCell ref="A40:B40"/>
    <mergeCell ref="A8:B8"/>
    <mergeCell ref="A39:B39"/>
    <mergeCell ref="A34:B34"/>
    <mergeCell ref="A35:B35"/>
  </mergeCells>
  <dataValidations count="1">
    <dataValidation sqref="B5" showDropDown="0" showInputMessage="0" showErrorMessage="1" allowBlank="0" errorTitle="Âge invalide" error="L'âge doit être compris entre 0 et 36 mois." type="whole" operator="between">
      <formula1>0</formula1>
      <formula2>36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J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1" customWidth="1" min="8" max="8"/>
    <col width="16" customWidth="1" min="9" max="9"/>
    <col width="30" customWidth="1" min="10" max="10"/>
  </cols>
  <sheetData>
    <row r="4" ht="28" customHeight="1">
      <c r="A4" s="1" t="inlineStr">
        <is>
          <t>📈 Synthèse (sur les 100 jours du tableau)</t>
        </is>
      </c>
    </row>
    <row r="5">
      <c r="A5" s="15" t="inlineStr">
        <is>
          <t>Heure moyenne de réveil</t>
        </is>
      </c>
      <c r="B5" s="16" t="n"/>
      <c r="C5" s="10">
        <f>IFERROR(AVERAGE(B11:B110),"")</f>
        <v/>
      </c>
    </row>
    <row r="6">
      <c r="A6" s="15" t="inlineStr">
        <is>
          <t>Heure moyenne de coucher</t>
        </is>
      </c>
      <c r="B6" s="16" t="n"/>
      <c r="C6" s="10">
        <f>IFERROR(AVERAGE(G11:G110),"")</f>
        <v/>
      </c>
    </row>
    <row r="7">
      <c r="A7" s="15" t="inlineStr">
        <is>
          <t>Durée moyenne de nuit</t>
        </is>
      </c>
      <c r="B7" s="16" t="n"/>
      <c r="C7" s="17">
        <f>IFERROR(AVERAGE(I11:I110),"")</f>
        <v/>
      </c>
    </row>
    <row r="8">
      <c r="A8" s="15" t="inlineStr">
        <is>
          <t>Nombre moyen de siestes/jour</t>
        </is>
      </c>
      <c r="B8" s="16" t="n"/>
      <c r="C8" s="18">
        <f>IFERROR(AVERAGE(H11:H110),"")</f>
        <v/>
      </c>
    </row>
    <row r="9">
      <c r="A9" s="15" t="inlineStr">
        <is>
          <t>Nombre de jours enregistrés</t>
        </is>
      </c>
      <c r="B9" s="16" t="n"/>
      <c r="C9" s="19">
        <f>COUNT(A11:A110)</f>
        <v/>
      </c>
    </row>
    <row r="10" ht="22" customHeight="1">
      <c r="A10" s="20" t="inlineStr">
        <is>
          <t>Date</t>
        </is>
      </c>
      <c r="B10" s="20" t="inlineStr">
        <is>
          <t>Réveil</t>
        </is>
      </c>
      <c r="C10" s="20" t="inlineStr">
        <is>
          <t>Fin sieste 1</t>
        </is>
      </c>
      <c r="D10" s="20" t="inlineStr">
        <is>
          <t>Fin sieste 2</t>
        </is>
      </c>
      <c r="E10" s="20" t="inlineStr">
        <is>
          <t>Fin sieste 3</t>
        </is>
      </c>
      <c r="F10" s="20" t="inlineStr">
        <is>
          <t>Fin sieste 4</t>
        </is>
      </c>
      <c r="G10" s="20" t="inlineStr">
        <is>
          <t>Coucher</t>
        </is>
      </c>
      <c r="H10" s="20" t="inlineStr">
        <is>
          <t>Nb siestes</t>
        </is>
      </c>
      <c r="I10" s="20" t="inlineStr">
        <is>
          <t>Durée nuit préc.</t>
        </is>
      </c>
      <c r="J10" s="20" t="inlineStr">
        <is>
          <t>Notes</t>
        </is>
      </c>
    </row>
    <row r="11">
      <c r="A11" s="21" t="n"/>
      <c r="B11" s="22" t="n"/>
      <c r="C11" s="22" t="n"/>
      <c r="D11" s="22" t="n"/>
      <c r="E11" s="22" t="n"/>
      <c r="F11" s="22" t="n"/>
      <c r="G11" s="22" t="n"/>
      <c r="H11" s="23">
        <f>IF(ISBLANK(A11),"",COUNT(C11:F11))</f>
        <v/>
      </c>
      <c r="I11" s="24">
        <f>IF(AND(ISNUMBER(B11),ISNUMBER(G10)),MOD(B11-G10,1),"")</f>
        <v/>
      </c>
      <c r="J11" s="25" t="n"/>
    </row>
    <row r="12">
      <c r="A12" s="26" t="n"/>
      <c r="B12" s="27" t="n"/>
      <c r="C12" s="27" t="n"/>
      <c r="D12" s="27" t="n"/>
      <c r="E12" s="27" t="n"/>
      <c r="F12" s="27" t="n"/>
      <c r="G12" s="27" t="n"/>
      <c r="H12" s="23">
        <f>IF(ISBLANK(A12),"",COUNT(C12:F12))</f>
        <v/>
      </c>
      <c r="I12" s="24">
        <f>IF(AND(ISNUMBER(B12),ISNUMBER(G11)),MOD(B12-G11,1),"")</f>
        <v/>
      </c>
      <c r="J12" s="28" t="n"/>
    </row>
    <row r="13">
      <c r="A13" s="21" t="n"/>
      <c r="B13" s="22" t="n"/>
      <c r="C13" s="22" t="n"/>
      <c r="D13" s="22" t="n"/>
      <c r="E13" s="22" t="n"/>
      <c r="F13" s="22" t="n"/>
      <c r="G13" s="22" t="n"/>
      <c r="H13" s="23">
        <f>IF(ISBLANK(A13),"",COUNT(C13:F13))</f>
        <v/>
      </c>
      <c r="I13" s="24">
        <f>IF(AND(ISNUMBER(B13),ISNUMBER(G12)),MOD(B13-G12,1),"")</f>
        <v/>
      </c>
      <c r="J13" s="25" t="n"/>
    </row>
    <row r="14">
      <c r="A14" s="26" t="n"/>
      <c r="B14" s="27" t="n"/>
      <c r="C14" s="27" t="n"/>
      <c r="D14" s="27" t="n"/>
      <c r="E14" s="27" t="n"/>
      <c r="F14" s="27" t="n"/>
      <c r="G14" s="27" t="n"/>
      <c r="H14" s="23">
        <f>IF(ISBLANK(A14),"",COUNT(C14:F14))</f>
        <v/>
      </c>
      <c r="I14" s="24">
        <f>IF(AND(ISNUMBER(B14),ISNUMBER(G13)),MOD(B14-G13,1),"")</f>
        <v/>
      </c>
      <c r="J14" s="28" t="n"/>
    </row>
    <row r="15">
      <c r="A15" s="21" t="n"/>
      <c r="B15" s="22" t="n"/>
      <c r="C15" s="22" t="n"/>
      <c r="D15" s="22" t="n"/>
      <c r="E15" s="22" t="n"/>
      <c r="F15" s="22" t="n"/>
      <c r="G15" s="22" t="n"/>
      <c r="H15" s="23">
        <f>IF(ISBLANK(A15),"",COUNT(C15:F15))</f>
        <v/>
      </c>
      <c r="I15" s="24">
        <f>IF(AND(ISNUMBER(B15),ISNUMBER(G14)),MOD(B15-G14,1),"")</f>
        <v/>
      </c>
      <c r="J15" s="25" t="n"/>
    </row>
    <row r="16">
      <c r="A16" s="26" t="n"/>
      <c r="B16" s="27" t="n"/>
      <c r="C16" s="27" t="n"/>
      <c r="D16" s="27" t="n"/>
      <c r="E16" s="27" t="n"/>
      <c r="F16" s="27" t="n"/>
      <c r="G16" s="27" t="n"/>
      <c r="H16" s="23">
        <f>IF(ISBLANK(A16),"",COUNT(C16:F16))</f>
        <v/>
      </c>
      <c r="I16" s="24">
        <f>IF(AND(ISNUMBER(B16),ISNUMBER(G15)),MOD(B16-G15,1),"")</f>
        <v/>
      </c>
      <c r="J16" s="28" t="n"/>
    </row>
    <row r="17">
      <c r="A17" s="21" t="n"/>
      <c r="B17" s="22" t="n"/>
      <c r="C17" s="22" t="n"/>
      <c r="D17" s="22" t="n"/>
      <c r="E17" s="22" t="n"/>
      <c r="F17" s="22" t="n"/>
      <c r="G17" s="22" t="n"/>
      <c r="H17" s="23">
        <f>IF(ISBLANK(A17),"",COUNT(C17:F17))</f>
        <v/>
      </c>
      <c r="I17" s="24">
        <f>IF(AND(ISNUMBER(B17),ISNUMBER(G16)),MOD(B17-G16,1),"")</f>
        <v/>
      </c>
      <c r="J17" s="25" t="n"/>
    </row>
    <row r="18">
      <c r="A18" s="26" t="n"/>
      <c r="B18" s="27" t="n"/>
      <c r="C18" s="27" t="n"/>
      <c r="D18" s="27" t="n"/>
      <c r="E18" s="27" t="n"/>
      <c r="F18" s="27" t="n"/>
      <c r="G18" s="27" t="n"/>
      <c r="H18" s="23">
        <f>IF(ISBLANK(A18),"",COUNT(C18:F18))</f>
        <v/>
      </c>
      <c r="I18" s="24">
        <f>IF(AND(ISNUMBER(B18),ISNUMBER(G17)),MOD(B18-G17,1),"")</f>
        <v/>
      </c>
      <c r="J18" s="28" t="n"/>
    </row>
    <row r="19">
      <c r="A19" s="21" t="n"/>
      <c r="B19" s="22" t="n"/>
      <c r="C19" s="22" t="n"/>
      <c r="D19" s="22" t="n"/>
      <c r="E19" s="22" t="n"/>
      <c r="F19" s="22" t="n"/>
      <c r="G19" s="22" t="n"/>
      <c r="H19" s="23">
        <f>IF(ISBLANK(A19),"",COUNT(C19:F19))</f>
        <v/>
      </c>
      <c r="I19" s="24">
        <f>IF(AND(ISNUMBER(B19),ISNUMBER(G18)),MOD(B19-G18,1),"")</f>
        <v/>
      </c>
      <c r="J19" s="25" t="n"/>
    </row>
    <row r="20">
      <c r="A20" s="26" t="n"/>
      <c r="B20" s="27" t="n"/>
      <c r="C20" s="27" t="n"/>
      <c r="D20" s="27" t="n"/>
      <c r="E20" s="27" t="n"/>
      <c r="F20" s="27" t="n"/>
      <c r="G20" s="27" t="n"/>
      <c r="H20" s="23">
        <f>IF(ISBLANK(A20),"",COUNT(C20:F20))</f>
        <v/>
      </c>
      <c r="I20" s="24">
        <f>IF(AND(ISNUMBER(B20),ISNUMBER(G19)),MOD(B20-G19,1),"")</f>
        <v/>
      </c>
      <c r="J20" s="28" t="n"/>
    </row>
    <row r="21">
      <c r="A21" s="21" t="n"/>
      <c r="B21" s="22" t="n"/>
      <c r="C21" s="22" t="n"/>
      <c r="D21" s="22" t="n"/>
      <c r="E21" s="22" t="n"/>
      <c r="F21" s="22" t="n"/>
      <c r="G21" s="22" t="n"/>
      <c r="H21" s="23">
        <f>IF(ISBLANK(A21),"",COUNT(C21:F21))</f>
        <v/>
      </c>
      <c r="I21" s="24">
        <f>IF(AND(ISNUMBER(B21),ISNUMBER(G20)),MOD(B21-G20,1),"")</f>
        <v/>
      </c>
      <c r="J21" s="25" t="n"/>
    </row>
    <row r="22">
      <c r="A22" s="26" t="n"/>
      <c r="B22" s="27" t="n"/>
      <c r="C22" s="27" t="n"/>
      <c r="D22" s="27" t="n"/>
      <c r="E22" s="27" t="n"/>
      <c r="F22" s="27" t="n"/>
      <c r="G22" s="27" t="n"/>
      <c r="H22" s="23">
        <f>IF(ISBLANK(A22),"",COUNT(C22:F22))</f>
        <v/>
      </c>
      <c r="I22" s="24">
        <f>IF(AND(ISNUMBER(B22),ISNUMBER(G21)),MOD(B22-G21,1),"")</f>
        <v/>
      </c>
      <c r="J22" s="28" t="n"/>
    </row>
    <row r="23">
      <c r="A23" s="21" t="n"/>
      <c r="B23" s="22" t="n"/>
      <c r="C23" s="22" t="n"/>
      <c r="D23" s="22" t="n"/>
      <c r="E23" s="22" t="n"/>
      <c r="F23" s="22" t="n"/>
      <c r="G23" s="22" t="n"/>
      <c r="H23" s="23">
        <f>IF(ISBLANK(A23),"",COUNT(C23:F23))</f>
        <v/>
      </c>
      <c r="I23" s="24">
        <f>IF(AND(ISNUMBER(B23),ISNUMBER(G22)),MOD(B23-G22,1),"")</f>
        <v/>
      </c>
      <c r="J23" s="25" t="n"/>
    </row>
    <row r="24">
      <c r="A24" s="26" t="n"/>
      <c r="B24" s="27" t="n"/>
      <c r="C24" s="27" t="n"/>
      <c r="D24" s="27" t="n"/>
      <c r="E24" s="27" t="n"/>
      <c r="F24" s="27" t="n"/>
      <c r="G24" s="27" t="n"/>
      <c r="H24" s="23">
        <f>IF(ISBLANK(A24),"",COUNT(C24:F24))</f>
        <v/>
      </c>
      <c r="I24" s="24">
        <f>IF(AND(ISNUMBER(B24),ISNUMBER(G23)),MOD(B24-G23,1),"")</f>
        <v/>
      </c>
      <c r="J24" s="28" t="n"/>
    </row>
    <row r="25">
      <c r="A25" s="21" t="n"/>
      <c r="B25" s="22" t="n"/>
      <c r="C25" s="22" t="n"/>
      <c r="D25" s="22" t="n"/>
      <c r="E25" s="22" t="n"/>
      <c r="F25" s="22" t="n"/>
      <c r="G25" s="22" t="n"/>
      <c r="H25" s="23">
        <f>IF(ISBLANK(A25),"",COUNT(C25:F25))</f>
        <v/>
      </c>
      <c r="I25" s="24">
        <f>IF(AND(ISNUMBER(B25),ISNUMBER(G24)),MOD(B25-G24,1),"")</f>
        <v/>
      </c>
      <c r="J25" s="25" t="n"/>
    </row>
    <row r="26">
      <c r="A26" s="26" t="n"/>
      <c r="B26" s="27" t="n"/>
      <c r="C26" s="27" t="n"/>
      <c r="D26" s="27" t="n"/>
      <c r="E26" s="27" t="n"/>
      <c r="F26" s="27" t="n"/>
      <c r="G26" s="27" t="n"/>
      <c r="H26" s="23">
        <f>IF(ISBLANK(A26),"",COUNT(C26:F26))</f>
        <v/>
      </c>
      <c r="I26" s="24">
        <f>IF(AND(ISNUMBER(B26),ISNUMBER(G25)),MOD(B26-G25,1),"")</f>
        <v/>
      </c>
      <c r="J26" s="28" t="n"/>
    </row>
    <row r="27">
      <c r="A27" s="21" t="n"/>
      <c r="B27" s="22" t="n"/>
      <c r="C27" s="22" t="n"/>
      <c r="D27" s="22" t="n"/>
      <c r="E27" s="22" t="n"/>
      <c r="F27" s="22" t="n"/>
      <c r="G27" s="22" t="n"/>
      <c r="H27" s="23">
        <f>IF(ISBLANK(A27),"",COUNT(C27:F27))</f>
        <v/>
      </c>
      <c r="I27" s="24">
        <f>IF(AND(ISNUMBER(B27),ISNUMBER(G26)),MOD(B27-G26,1),"")</f>
        <v/>
      </c>
      <c r="J27" s="25" t="n"/>
    </row>
    <row r="28">
      <c r="A28" s="26" t="n"/>
      <c r="B28" s="27" t="n"/>
      <c r="C28" s="27" t="n"/>
      <c r="D28" s="27" t="n"/>
      <c r="E28" s="27" t="n"/>
      <c r="F28" s="27" t="n"/>
      <c r="G28" s="27" t="n"/>
      <c r="H28" s="23">
        <f>IF(ISBLANK(A28),"",COUNT(C28:F28))</f>
        <v/>
      </c>
      <c r="I28" s="24">
        <f>IF(AND(ISNUMBER(B28),ISNUMBER(G27)),MOD(B28-G27,1),"")</f>
        <v/>
      </c>
      <c r="J28" s="28" t="n"/>
    </row>
    <row r="29">
      <c r="A29" s="21" t="n"/>
      <c r="B29" s="22" t="n"/>
      <c r="C29" s="22" t="n"/>
      <c r="D29" s="22" t="n"/>
      <c r="E29" s="22" t="n"/>
      <c r="F29" s="22" t="n"/>
      <c r="G29" s="22" t="n"/>
      <c r="H29" s="23">
        <f>IF(ISBLANK(A29),"",COUNT(C29:F29))</f>
        <v/>
      </c>
      <c r="I29" s="24">
        <f>IF(AND(ISNUMBER(B29),ISNUMBER(G28)),MOD(B29-G28,1),"")</f>
        <v/>
      </c>
      <c r="J29" s="25" t="n"/>
    </row>
    <row r="30">
      <c r="A30" s="26" t="n"/>
      <c r="B30" s="27" t="n"/>
      <c r="C30" s="27" t="n"/>
      <c r="D30" s="27" t="n"/>
      <c r="E30" s="27" t="n"/>
      <c r="F30" s="27" t="n"/>
      <c r="G30" s="27" t="n"/>
      <c r="H30" s="23">
        <f>IF(ISBLANK(A30),"",COUNT(C30:F30))</f>
        <v/>
      </c>
      <c r="I30" s="24">
        <f>IF(AND(ISNUMBER(B30),ISNUMBER(G29)),MOD(B30-G29,1),"")</f>
        <v/>
      </c>
      <c r="J30" s="28" t="n"/>
    </row>
    <row r="31">
      <c r="A31" s="21" t="n"/>
      <c r="B31" s="22" t="n"/>
      <c r="C31" s="22" t="n"/>
      <c r="D31" s="22" t="n"/>
      <c r="E31" s="22" t="n"/>
      <c r="F31" s="22" t="n"/>
      <c r="G31" s="22" t="n"/>
      <c r="H31" s="23">
        <f>IF(ISBLANK(A31),"",COUNT(C31:F31))</f>
        <v/>
      </c>
      <c r="I31" s="24">
        <f>IF(AND(ISNUMBER(B31),ISNUMBER(G30)),MOD(B31-G30,1),"")</f>
        <v/>
      </c>
      <c r="J31" s="25" t="n"/>
    </row>
    <row r="32">
      <c r="A32" s="26" t="n"/>
      <c r="B32" s="27" t="n"/>
      <c r="C32" s="27" t="n"/>
      <c r="D32" s="27" t="n"/>
      <c r="E32" s="27" t="n"/>
      <c r="F32" s="27" t="n"/>
      <c r="G32" s="27" t="n"/>
      <c r="H32" s="23">
        <f>IF(ISBLANK(A32),"",COUNT(C32:F32))</f>
        <v/>
      </c>
      <c r="I32" s="24">
        <f>IF(AND(ISNUMBER(B32),ISNUMBER(G31)),MOD(B32-G31,1),"")</f>
        <v/>
      </c>
      <c r="J32" s="28" t="n"/>
    </row>
    <row r="33">
      <c r="A33" s="21" t="n"/>
      <c r="B33" s="22" t="n"/>
      <c r="C33" s="22" t="n"/>
      <c r="D33" s="22" t="n"/>
      <c r="E33" s="22" t="n"/>
      <c r="F33" s="22" t="n"/>
      <c r="G33" s="22" t="n"/>
      <c r="H33" s="23">
        <f>IF(ISBLANK(A33),"",COUNT(C33:F33))</f>
        <v/>
      </c>
      <c r="I33" s="24">
        <f>IF(AND(ISNUMBER(B33),ISNUMBER(G32)),MOD(B33-G32,1),"")</f>
        <v/>
      </c>
      <c r="J33" s="25" t="n"/>
    </row>
    <row r="34">
      <c r="A34" s="26" t="n"/>
      <c r="B34" s="27" t="n"/>
      <c r="C34" s="27" t="n"/>
      <c r="D34" s="27" t="n"/>
      <c r="E34" s="27" t="n"/>
      <c r="F34" s="27" t="n"/>
      <c r="G34" s="27" t="n"/>
      <c r="H34" s="23">
        <f>IF(ISBLANK(A34),"",COUNT(C34:F34))</f>
        <v/>
      </c>
      <c r="I34" s="24">
        <f>IF(AND(ISNUMBER(B34),ISNUMBER(G33)),MOD(B34-G33,1),"")</f>
        <v/>
      </c>
      <c r="J34" s="28" t="n"/>
    </row>
    <row r="35">
      <c r="A35" s="21" t="n"/>
      <c r="B35" s="22" t="n"/>
      <c r="C35" s="22" t="n"/>
      <c r="D35" s="22" t="n"/>
      <c r="E35" s="22" t="n"/>
      <c r="F35" s="22" t="n"/>
      <c r="G35" s="22" t="n"/>
      <c r="H35" s="23">
        <f>IF(ISBLANK(A35),"",COUNT(C35:F35))</f>
        <v/>
      </c>
      <c r="I35" s="24">
        <f>IF(AND(ISNUMBER(B35),ISNUMBER(G34)),MOD(B35-G34,1),"")</f>
        <v/>
      </c>
      <c r="J35" s="25" t="n"/>
    </row>
    <row r="36">
      <c r="A36" s="26" t="n"/>
      <c r="B36" s="27" t="n"/>
      <c r="C36" s="27" t="n"/>
      <c r="D36" s="27" t="n"/>
      <c r="E36" s="27" t="n"/>
      <c r="F36" s="27" t="n"/>
      <c r="G36" s="27" t="n"/>
      <c r="H36" s="23">
        <f>IF(ISBLANK(A36),"",COUNT(C36:F36))</f>
        <v/>
      </c>
      <c r="I36" s="24">
        <f>IF(AND(ISNUMBER(B36),ISNUMBER(G35)),MOD(B36-G35,1),"")</f>
        <v/>
      </c>
      <c r="J36" s="28" t="n"/>
    </row>
    <row r="37">
      <c r="A37" s="21" t="n"/>
      <c r="B37" s="22" t="n"/>
      <c r="C37" s="22" t="n"/>
      <c r="D37" s="22" t="n"/>
      <c r="E37" s="22" t="n"/>
      <c r="F37" s="22" t="n"/>
      <c r="G37" s="22" t="n"/>
      <c r="H37" s="23">
        <f>IF(ISBLANK(A37),"",COUNT(C37:F37))</f>
        <v/>
      </c>
      <c r="I37" s="24">
        <f>IF(AND(ISNUMBER(B37),ISNUMBER(G36)),MOD(B37-G36,1),"")</f>
        <v/>
      </c>
      <c r="J37" s="25" t="n"/>
    </row>
    <row r="38">
      <c r="A38" s="26" t="n"/>
      <c r="B38" s="27" t="n"/>
      <c r="C38" s="27" t="n"/>
      <c r="D38" s="27" t="n"/>
      <c r="E38" s="27" t="n"/>
      <c r="F38" s="27" t="n"/>
      <c r="G38" s="27" t="n"/>
      <c r="H38" s="23">
        <f>IF(ISBLANK(A38),"",COUNT(C38:F38))</f>
        <v/>
      </c>
      <c r="I38" s="24">
        <f>IF(AND(ISNUMBER(B38),ISNUMBER(G37)),MOD(B38-G37,1),"")</f>
        <v/>
      </c>
      <c r="J38" s="28" t="n"/>
    </row>
    <row r="39">
      <c r="A39" s="21" t="n"/>
      <c r="B39" s="22" t="n"/>
      <c r="C39" s="22" t="n"/>
      <c r="D39" s="22" t="n"/>
      <c r="E39" s="22" t="n"/>
      <c r="F39" s="22" t="n"/>
      <c r="G39" s="22" t="n"/>
      <c r="H39" s="23">
        <f>IF(ISBLANK(A39),"",COUNT(C39:F39))</f>
        <v/>
      </c>
      <c r="I39" s="24">
        <f>IF(AND(ISNUMBER(B39),ISNUMBER(G38)),MOD(B39-G38,1),"")</f>
        <v/>
      </c>
      <c r="J39" s="25" t="n"/>
    </row>
    <row r="40">
      <c r="A40" s="26" t="n"/>
      <c r="B40" s="27" t="n"/>
      <c r="C40" s="27" t="n"/>
      <c r="D40" s="27" t="n"/>
      <c r="E40" s="27" t="n"/>
      <c r="F40" s="27" t="n"/>
      <c r="G40" s="27" t="n"/>
      <c r="H40" s="23">
        <f>IF(ISBLANK(A40),"",COUNT(C40:F40))</f>
        <v/>
      </c>
      <c r="I40" s="24">
        <f>IF(AND(ISNUMBER(B40),ISNUMBER(G39)),MOD(B40-G39,1),"")</f>
        <v/>
      </c>
      <c r="J40" s="28" t="n"/>
    </row>
    <row r="41">
      <c r="A41" s="21" t="n"/>
      <c r="B41" s="22" t="n"/>
      <c r="C41" s="22" t="n"/>
      <c r="D41" s="22" t="n"/>
      <c r="E41" s="22" t="n"/>
      <c r="F41" s="22" t="n"/>
      <c r="G41" s="22" t="n"/>
      <c r="H41" s="23">
        <f>IF(ISBLANK(A41),"",COUNT(C41:F41))</f>
        <v/>
      </c>
      <c r="I41" s="24">
        <f>IF(AND(ISNUMBER(B41),ISNUMBER(G40)),MOD(B41-G40,1),"")</f>
        <v/>
      </c>
      <c r="J41" s="25" t="n"/>
    </row>
    <row r="42">
      <c r="A42" s="26" t="n"/>
      <c r="B42" s="27" t="n"/>
      <c r="C42" s="27" t="n"/>
      <c r="D42" s="27" t="n"/>
      <c r="E42" s="27" t="n"/>
      <c r="F42" s="27" t="n"/>
      <c r="G42" s="27" t="n"/>
      <c r="H42" s="23">
        <f>IF(ISBLANK(A42),"",COUNT(C42:F42))</f>
        <v/>
      </c>
      <c r="I42" s="24">
        <f>IF(AND(ISNUMBER(B42),ISNUMBER(G41)),MOD(B42-G41,1),"")</f>
        <v/>
      </c>
      <c r="J42" s="28" t="n"/>
    </row>
    <row r="43">
      <c r="A43" s="21" t="n"/>
      <c r="B43" s="22" t="n"/>
      <c r="C43" s="22" t="n"/>
      <c r="D43" s="22" t="n"/>
      <c r="E43" s="22" t="n"/>
      <c r="F43" s="22" t="n"/>
      <c r="G43" s="22" t="n"/>
      <c r="H43" s="23">
        <f>IF(ISBLANK(A43),"",COUNT(C43:F43))</f>
        <v/>
      </c>
      <c r="I43" s="24">
        <f>IF(AND(ISNUMBER(B43),ISNUMBER(G42)),MOD(B43-G42,1),"")</f>
        <v/>
      </c>
      <c r="J43" s="25" t="n"/>
    </row>
    <row r="44">
      <c r="A44" s="26" t="n"/>
      <c r="B44" s="27" t="n"/>
      <c r="C44" s="27" t="n"/>
      <c r="D44" s="27" t="n"/>
      <c r="E44" s="27" t="n"/>
      <c r="F44" s="27" t="n"/>
      <c r="G44" s="27" t="n"/>
      <c r="H44" s="23">
        <f>IF(ISBLANK(A44),"",COUNT(C44:F44))</f>
        <v/>
      </c>
      <c r="I44" s="24">
        <f>IF(AND(ISNUMBER(B44),ISNUMBER(G43)),MOD(B44-G43,1),"")</f>
        <v/>
      </c>
      <c r="J44" s="28" t="n"/>
    </row>
    <row r="45">
      <c r="A45" s="21" t="n"/>
      <c r="B45" s="22" t="n"/>
      <c r="C45" s="22" t="n"/>
      <c r="D45" s="22" t="n"/>
      <c r="E45" s="22" t="n"/>
      <c r="F45" s="22" t="n"/>
      <c r="G45" s="22" t="n"/>
      <c r="H45" s="23">
        <f>IF(ISBLANK(A45),"",COUNT(C45:F45))</f>
        <v/>
      </c>
      <c r="I45" s="24">
        <f>IF(AND(ISNUMBER(B45),ISNUMBER(G44)),MOD(B45-G44,1),"")</f>
        <v/>
      </c>
      <c r="J45" s="25" t="n"/>
    </row>
    <row r="46">
      <c r="A46" s="26" t="n"/>
      <c r="B46" s="27" t="n"/>
      <c r="C46" s="27" t="n"/>
      <c r="D46" s="27" t="n"/>
      <c r="E46" s="27" t="n"/>
      <c r="F46" s="27" t="n"/>
      <c r="G46" s="27" t="n"/>
      <c r="H46" s="23">
        <f>IF(ISBLANK(A46),"",COUNT(C46:F46))</f>
        <v/>
      </c>
      <c r="I46" s="24">
        <f>IF(AND(ISNUMBER(B46),ISNUMBER(G45)),MOD(B46-G45,1),"")</f>
        <v/>
      </c>
      <c r="J46" s="28" t="n"/>
    </row>
    <row r="47">
      <c r="A47" s="21" t="n"/>
      <c r="B47" s="22" t="n"/>
      <c r="C47" s="22" t="n"/>
      <c r="D47" s="22" t="n"/>
      <c r="E47" s="22" t="n"/>
      <c r="F47" s="22" t="n"/>
      <c r="G47" s="22" t="n"/>
      <c r="H47" s="23">
        <f>IF(ISBLANK(A47),"",COUNT(C47:F47))</f>
        <v/>
      </c>
      <c r="I47" s="24">
        <f>IF(AND(ISNUMBER(B47),ISNUMBER(G46)),MOD(B47-G46,1),"")</f>
        <v/>
      </c>
      <c r="J47" s="25" t="n"/>
    </row>
    <row r="48">
      <c r="A48" s="26" t="n"/>
      <c r="B48" s="27" t="n"/>
      <c r="C48" s="27" t="n"/>
      <c r="D48" s="27" t="n"/>
      <c r="E48" s="27" t="n"/>
      <c r="F48" s="27" t="n"/>
      <c r="G48" s="27" t="n"/>
      <c r="H48" s="23">
        <f>IF(ISBLANK(A48),"",COUNT(C48:F48))</f>
        <v/>
      </c>
      <c r="I48" s="24">
        <f>IF(AND(ISNUMBER(B48),ISNUMBER(G47)),MOD(B48-G47,1),"")</f>
        <v/>
      </c>
      <c r="J48" s="28" t="n"/>
    </row>
    <row r="49">
      <c r="A49" s="21" t="n"/>
      <c r="B49" s="22" t="n"/>
      <c r="C49" s="22" t="n"/>
      <c r="D49" s="22" t="n"/>
      <c r="E49" s="22" t="n"/>
      <c r="F49" s="22" t="n"/>
      <c r="G49" s="22" t="n"/>
      <c r="H49" s="23">
        <f>IF(ISBLANK(A49),"",COUNT(C49:F49))</f>
        <v/>
      </c>
      <c r="I49" s="24">
        <f>IF(AND(ISNUMBER(B49),ISNUMBER(G48)),MOD(B49-G48,1),"")</f>
        <v/>
      </c>
      <c r="J49" s="25" t="n"/>
    </row>
    <row r="50">
      <c r="A50" s="26" t="n"/>
      <c r="B50" s="27" t="n"/>
      <c r="C50" s="27" t="n"/>
      <c r="D50" s="27" t="n"/>
      <c r="E50" s="27" t="n"/>
      <c r="F50" s="27" t="n"/>
      <c r="G50" s="27" t="n"/>
      <c r="H50" s="23">
        <f>IF(ISBLANK(A50),"",COUNT(C50:F50))</f>
        <v/>
      </c>
      <c r="I50" s="24">
        <f>IF(AND(ISNUMBER(B50),ISNUMBER(G49)),MOD(B50-G49,1),"")</f>
        <v/>
      </c>
      <c r="J50" s="28" t="n"/>
    </row>
    <row r="51">
      <c r="A51" s="21" t="n"/>
      <c r="B51" s="22" t="n"/>
      <c r="C51" s="22" t="n"/>
      <c r="D51" s="22" t="n"/>
      <c r="E51" s="22" t="n"/>
      <c r="F51" s="22" t="n"/>
      <c r="G51" s="22" t="n"/>
      <c r="H51" s="23">
        <f>IF(ISBLANK(A51),"",COUNT(C51:F51))</f>
        <v/>
      </c>
      <c r="I51" s="24">
        <f>IF(AND(ISNUMBER(B51),ISNUMBER(G50)),MOD(B51-G50,1),"")</f>
        <v/>
      </c>
      <c r="J51" s="25" t="n"/>
    </row>
    <row r="52">
      <c r="A52" s="26" t="n"/>
      <c r="B52" s="27" t="n"/>
      <c r="C52" s="27" t="n"/>
      <c r="D52" s="27" t="n"/>
      <c r="E52" s="27" t="n"/>
      <c r="F52" s="27" t="n"/>
      <c r="G52" s="27" t="n"/>
      <c r="H52" s="23">
        <f>IF(ISBLANK(A52),"",COUNT(C52:F52))</f>
        <v/>
      </c>
      <c r="I52" s="24">
        <f>IF(AND(ISNUMBER(B52),ISNUMBER(G51)),MOD(B52-G51,1),"")</f>
        <v/>
      </c>
      <c r="J52" s="28" t="n"/>
    </row>
    <row r="53">
      <c r="A53" s="21" t="n"/>
      <c r="B53" s="22" t="n"/>
      <c r="C53" s="22" t="n"/>
      <c r="D53" s="22" t="n"/>
      <c r="E53" s="22" t="n"/>
      <c r="F53" s="22" t="n"/>
      <c r="G53" s="22" t="n"/>
      <c r="H53" s="23">
        <f>IF(ISBLANK(A53),"",COUNT(C53:F53))</f>
        <v/>
      </c>
      <c r="I53" s="24">
        <f>IF(AND(ISNUMBER(B53),ISNUMBER(G52)),MOD(B53-G52,1),"")</f>
        <v/>
      </c>
      <c r="J53" s="25" t="n"/>
    </row>
    <row r="54">
      <c r="A54" s="26" t="n"/>
      <c r="B54" s="27" t="n"/>
      <c r="C54" s="27" t="n"/>
      <c r="D54" s="27" t="n"/>
      <c r="E54" s="27" t="n"/>
      <c r="F54" s="27" t="n"/>
      <c r="G54" s="27" t="n"/>
      <c r="H54" s="23">
        <f>IF(ISBLANK(A54),"",COUNT(C54:F54))</f>
        <v/>
      </c>
      <c r="I54" s="24">
        <f>IF(AND(ISNUMBER(B54),ISNUMBER(G53)),MOD(B54-G53,1),"")</f>
        <v/>
      </c>
      <c r="J54" s="28" t="n"/>
    </row>
    <row r="55">
      <c r="A55" s="21" t="n"/>
      <c r="B55" s="22" t="n"/>
      <c r="C55" s="22" t="n"/>
      <c r="D55" s="22" t="n"/>
      <c r="E55" s="22" t="n"/>
      <c r="F55" s="22" t="n"/>
      <c r="G55" s="22" t="n"/>
      <c r="H55" s="23">
        <f>IF(ISBLANK(A55),"",COUNT(C55:F55))</f>
        <v/>
      </c>
      <c r="I55" s="24">
        <f>IF(AND(ISNUMBER(B55),ISNUMBER(G54)),MOD(B55-G54,1),"")</f>
        <v/>
      </c>
      <c r="J55" s="25" t="n"/>
    </row>
    <row r="56">
      <c r="A56" s="26" t="n"/>
      <c r="B56" s="27" t="n"/>
      <c r="C56" s="27" t="n"/>
      <c r="D56" s="27" t="n"/>
      <c r="E56" s="27" t="n"/>
      <c r="F56" s="27" t="n"/>
      <c r="G56" s="27" t="n"/>
      <c r="H56" s="23">
        <f>IF(ISBLANK(A56),"",COUNT(C56:F56))</f>
        <v/>
      </c>
      <c r="I56" s="24">
        <f>IF(AND(ISNUMBER(B56),ISNUMBER(G55)),MOD(B56-G55,1),"")</f>
        <v/>
      </c>
      <c r="J56" s="28" t="n"/>
    </row>
    <row r="57">
      <c r="A57" s="21" t="n"/>
      <c r="B57" s="22" t="n"/>
      <c r="C57" s="22" t="n"/>
      <c r="D57" s="22" t="n"/>
      <c r="E57" s="22" t="n"/>
      <c r="F57" s="22" t="n"/>
      <c r="G57" s="22" t="n"/>
      <c r="H57" s="23">
        <f>IF(ISBLANK(A57),"",COUNT(C57:F57))</f>
        <v/>
      </c>
      <c r="I57" s="24">
        <f>IF(AND(ISNUMBER(B57),ISNUMBER(G56)),MOD(B57-G56,1),"")</f>
        <v/>
      </c>
      <c r="J57" s="25" t="n"/>
    </row>
    <row r="58">
      <c r="A58" s="26" t="n"/>
      <c r="B58" s="27" t="n"/>
      <c r="C58" s="27" t="n"/>
      <c r="D58" s="27" t="n"/>
      <c r="E58" s="27" t="n"/>
      <c r="F58" s="27" t="n"/>
      <c r="G58" s="27" t="n"/>
      <c r="H58" s="23">
        <f>IF(ISBLANK(A58),"",COUNT(C58:F58))</f>
        <v/>
      </c>
      <c r="I58" s="24">
        <f>IF(AND(ISNUMBER(B58),ISNUMBER(G57)),MOD(B58-G57,1),"")</f>
        <v/>
      </c>
      <c r="J58" s="28" t="n"/>
    </row>
    <row r="59">
      <c r="A59" s="21" t="n"/>
      <c r="B59" s="22" t="n"/>
      <c r="C59" s="22" t="n"/>
      <c r="D59" s="22" t="n"/>
      <c r="E59" s="22" t="n"/>
      <c r="F59" s="22" t="n"/>
      <c r="G59" s="22" t="n"/>
      <c r="H59" s="23">
        <f>IF(ISBLANK(A59),"",COUNT(C59:F59))</f>
        <v/>
      </c>
      <c r="I59" s="24">
        <f>IF(AND(ISNUMBER(B59),ISNUMBER(G58)),MOD(B59-G58,1),"")</f>
        <v/>
      </c>
      <c r="J59" s="25" t="n"/>
    </row>
    <row r="60">
      <c r="A60" s="26" t="n"/>
      <c r="B60" s="27" t="n"/>
      <c r="C60" s="27" t="n"/>
      <c r="D60" s="27" t="n"/>
      <c r="E60" s="27" t="n"/>
      <c r="F60" s="27" t="n"/>
      <c r="G60" s="27" t="n"/>
      <c r="H60" s="23">
        <f>IF(ISBLANK(A60),"",COUNT(C60:F60))</f>
        <v/>
      </c>
      <c r="I60" s="24">
        <f>IF(AND(ISNUMBER(B60),ISNUMBER(G59)),MOD(B60-G59,1),"")</f>
        <v/>
      </c>
      <c r="J60" s="28" t="n"/>
    </row>
    <row r="61">
      <c r="A61" s="21" t="n"/>
      <c r="B61" s="22" t="n"/>
      <c r="C61" s="22" t="n"/>
      <c r="D61" s="22" t="n"/>
      <c r="E61" s="22" t="n"/>
      <c r="F61" s="22" t="n"/>
      <c r="G61" s="22" t="n"/>
      <c r="H61" s="23">
        <f>IF(ISBLANK(A61),"",COUNT(C61:F61))</f>
        <v/>
      </c>
      <c r="I61" s="24">
        <f>IF(AND(ISNUMBER(B61),ISNUMBER(G60)),MOD(B61-G60,1),"")</f>
        <v/>
      </c>
      <c r="J61" s="25" t="n"/>
    </row>
    <row r="62">
      <c r="A62" s="26" t="n"/>
      <c r="B62" s="27" t="n"/>
      <c r="C62" s="27" t="n"/>
      <c r="D62" s="27" t="n"/>
      <c r="E62" s="27" t="n"/>
      <c r="F62" s="27" t="n"/>
      <c r="G62" s="27" t="n"/>
      <c r="H62" s="23">
        <f>IF(ISBLANK(A62),"",COUNT(C62:F62))</f>
        <v/>
      </c>
      <c r="I62" s="24">
        <f>IF(AND(ISNUMBER(B62),ISNUMBER(G61)),MOD(B62-G61,1),"")</f>
        <v/>
      </c>
      <c r="J62" s="28" t="n"/>
    </row>
    <row r="63">
      <c r="A63" s="21" t="n"/>
      <c r="B63" s="22" t="n"/>
      <c r="C63" s="22" t="n"/>
      <c r="D63" s="22" t="n"/>
      <c r="E63" s="22" t="n"/>
      <c r="F63" s="22" t="n"/>
      <c r="G63" s="22" t="n"/>
      <c r="H63" s="23">
        <f>IF(ISBLANK(A63),"",COUNT(C63:F63))</f>
        <v/>
      </c>
      <c r="I63" s="24">
        <f>IF(AND(ISNUMBER(B63),ISNUMBER(G62)),MOD(B63-G62,1),"")</f>
        <v/>
      </c>
      <c r="J63" s="25" t="n"/>
    </row>
    <row r="64">
      <c r="A64" s="26" t="n"/>
      <c r="B64" s="27" t="n"/>
      <c r="C64" s="27" t="n"/>
      <c r="D64" s="27" t="n"/>
      <c r="E64" s="27" t="n"/>
      <c r="F64" s="27" t="n"/>
      <c r="G64" s="27" t="n"/>
      <c r="H64" s="23">
        <f>IF(ISBLANK(A64),"",COUNT(C64:F64))</f>
        <v/>
      </c>
      <c r="I64" s="24">
        <f>IF(AND(ISNUMBER(B64),ISNUMBER(G63)),MOD(B64-G63,1),"")</f>
        <v/>
      </c>
      <c r="J64" s="28" t="n"/>
    </row>
    <row r="65">
      <c r="A65" s="21" t="n"/>
      <c r="B65" s="22" t="n"/>
      <c r="C65" s="22" t="n"/>
      <c r="D65" s="22" t="n"/>
      <c r="E65" s="22" t="n"/>
      <c r="F65" s="22" t="n"/>
      <c r="G65" s="22" t="n"/>
      <c r="H65" s="23">
        <f>IF(ISBLANK(A65),"",COUNT(C65:F65))</f>
        <v/>
      </c>
      <c r="I65" s="24">
        <f>IF(AND(ISNUMBER(B65),ISNUMBER(G64)),MOD(B65-G64,1),"")</f>
        <v/>
      </c>
      <c r="J65" s="25" t="n"/>
    </row>
    <row r="66">
      <c r="A66" s="26" t="n"/>
      <c r="B66" s="27" t="n"/>
      <c r="C66" s="27" t="n"/>
      <c r="D66" s="27" t="n"/>
      <c r="E66" s="27" t="n"/>
      <c r="F66" s="27" t="n"/>
      <c r="G66" s="27" t="n"/>
      <c r="H66" s="23">
        <f>IF(ISBLANK(A66),"",COUNT(C66:F66))</f>
        <v/>
      </c>
      <c r="I66" s="24">
        <f>IF(AND(ISNUMBER(B66),ISNUMBER(G65)),MOD(B66-G65,1),"")</f>
        <v/>
      </c>
      <c r="J66" s="28" t="n"/>
    </row>
    <row r="67">
      <c r="A67" s="21" t="n"/>
      <c r="B67" s="22" t="n"/>
      <c r="C67" s="22" t="n"/>
      <c r="D67" s="22" t="n"/>
      <c r="E67" s="22" t="n"/>
      <c r="F67" s="22" t="n"/>
      <c r="G67" s="22" t="n"/>
      <c r="H67" s="23">
        <f>IF(ISBLANK(A67),"",COUNT(C67:F67))</f>
        <v/>
      </c>
      <c r="I67" s="24">
        <f>IF(AND(ISNUMBER(B67),ISNUMBER(G66)),MOD(B67-G66,1),"")</f>
        <v/>
      </c>
      <c r="J67" s="25" t="n"/>
    </row>
    <row r="68">
      <c r="A68" s="26" t="n"/>
      <c r="B68" s="27" t="n"/>
      <c r="C68" s="27" t="n"/>
      <c r="D68" s="27" t="n"/>
      <c r="E68" s="27" t="n"/>
      <c r="F68" s="27" t="n"/>
      <c r="G68" s="27" t="n"/>
      <c r="H68" s="23">
        <f>IF(ISBLANK(A68),"",COUNT(C68:F68))</f>
        <v/>
      </c>
      <c r="I68" s="24">
        <f>IF(AND(ISNUMBER(B68),ISNUMBER(G67)),MOD(B68-G67,1),"")</f>
        <v/>
      </c>
      <c r="J68" s="28" t="n"/>
    </row>
    <row r="69">
      <c r="A69" s="21" t="n"/>
      <c r="B69" s="22" t="n"/>
      <c r="C69" s="22" t="n"/>
      <c r="D69" s="22" t="n"/>
      <c r="E69" s="22" t="n"/>
      <c r="F69" s="22" t="n"/>
      <c r="G69" s="22" t="n"/>
      <c r="H69" s="23">
        <f>IF(ISBLANK(A69),"",COUNT(C69:F69))</f>
        <v/>
      </c>
      <c r="I69" s="24">
        <f>IF(AND(ISNUMBER(B69),ISNUMBER(G68)),MOD(B69-G68,1),"")</f>
        <v/>
      </c>
      <c r="J69" s="25" t="n"/>
    </row>
    <row r="70">
      <c r="A70" s="26" t="n"/>
      <c r="B70" s="27" t="n"/>
      <c r="C70" s="27" t="n"/>
      <c r="D70" s="27" t="n"/>
      <c r="E70" s="27" t="n"/>
      <c r="F70" s="27" t="n"/>
      <c r="G70" s="27" t="n"/>
      <c r="H70" s="23">
        <f>IF(ISBLANK(A70),"",COUNT(C70:F70))</f>
        <v/>
      </c>
      <c r="I70" s="24">
        <f>IF(AND(ISNUMBER(B70),ISNUMBER(G69)),MOD(B70-G69,1),"")</f>
        <v/>
      </c>
      <c r="J70" s="28" t="n"/>
    </row>
    <row r="71">
      <c r="A71" s="21" t="n"/>
      <c r="B71" s="22" t="n"/>
      <c r="C71" s="22" t="n"/>
      <c r="D71" s="22" t="n"/>
      <c r="E71" s="22" t="n"/>
      <c r="F71" s="22" t="n"/>
      <c r="G71" s="22" t="n"/>
      <c r="H71" s="23">
        <f>IF(ISBLANK(A71),"",COUNT(C71:F71))</f>
        <v/>
      </c>
      <c r="I71" s="24">
        <f>IF(AND(ISNUMBER(B71),ISNUMBER(G70)),MOD(B71-G70,1),"")</f>
        <v/>
      </c>
      <c r="J71" s="25" t="n"/>
    </row>
    <row r="72">
      <c r="A72" s="26" t="n"/>
      <c r="B72" s="27" t="n"/>
      <c r="C72" s="27" t="n"/>
      <c r="D72" s="27" t="n"/>
      <c r="E72" s="27" t="n"/>
      <c r="F72" s="27" t="n"/>
      <c r="G72" s="27" t="n"/>
      <c r="H72" s="23">
        <f>IF(ISBLANK(A72),"",COUNT(C72:F72))</f>
        <v/>
      </c>
      <c r="I72" s="24">
        <f>IF(AND(ISNUMBER(B72),ISNUMBER(G71)),MOD(B72-G71,1),"")</f>
        <v/>
      </c>
      <c r="J72" s="28" t="n"/>
    </row>
    <row r="73">
      <c r="A73" s="21" t="n"/>
      <c r="B73" s="22" t="n"/>
      <c r="C73" s="22" t="n"/>
      <c r="D73" s="22" t="n"/>
      <c r="E73" s="22" t="n"/>
      <c r="F73" s="22" t="n"/>
      <c r="G73" s="22" t="n"/>
      <c r="H73" s="23">
        <f>IF(ISBLANK(A73),"",COUNT(C73:F73))</f>
        <v/>
      </c>
      <c r="I73" s="24">
        <f>IF(AND(ISNUMBER(B73),ISNUMBER(G72)),MOD(B73-G72,1),"")</f>
        <v/>
      </c>
      <c r="J73" s="25" t="n"/>
    </row>
    <row r="74">
      <c r="A74" s="26" t="n"/>
      <c r="B74" s="27" t="n"/>
      <c r="C74" s="27" t="n"/>
      <c r="D74" s="27" t="n"/>
      <c r="E74" s="27" t="n"/>
      <c r="F74" s="27" t="n"/>
      <c r="G74" s="27" t="n"/>
      <c r="H74" s="23">
        <f>IF(ISBLANK(A74),"",COUNT(C74:F74))</f>
        <v/>
      </c>
      <c r="I74" s="24">
        <f>IF(AND(ISNUMBER(B74),ISNUMBER(G73)),MOD(B74-G73,1),"")</f>
        <v/>
      </c>
      <c r="J74" s="28" t="n"/>
    </row>
    <row r="75">
      <c r="A75" s="21" t="n"/>
      <c r="B75" s="22" t="n"/>
      <c r="C75" s="22" t="n"/>
      <c r="D75" s="22" t="n"/>
      <c r="E75" s="22" t="n"/>
      <c r="F75" s="22" t="n"/>
      <c r="G75" s="22" t="n"/>
      <c r="H75" s="23">
        <f>IF(ISBLANK(A75),"",COUNT(C75:F75))</f>
        <v/>
      </c>
      <c r="I75" s="24">
        <f>IF(AND(ISNUMBER(B75),ISNUMBER(G74)),MOD(B75-G74,1),"")</f>
        <v/>
      </c>
      <c r="J75" s="25" t="n"/>
    </row>
    <row r="76">
      <c r="A76" s="26" t="n"/>
      <c r="B76" s="27" t="n"/>
      <c r="C76" s="27" t="n"/>
      <c r="D76" s="27" t="n"/>
      <c r="E76" s="27" t="n"/>
      <c r="F76" s="27" t="n"/>
      <c r="G76" s="27" t="n"/>
      <c r="H76" s="23">
        <f>IF(ISBLANK(A76),"",COUNT(C76:F76))</f>
        <v/>
      </c>
      <c r="I76" s="24">
        <f>IF(AND(ISNUMBER(B76),ISNUMBER(G75)),MOD(B76-G75,1),"")</f>
        <v/>
      </c>
      <c r="J76" s="28" t="n"/>
    </row>
    <row r="77">
      <c r="A77" s="21" t="n"/>
      <c r="B77" s="22" t="n"/>
      <c r="C77" s="22" t="n"/>
      <c r="D77" s="22" t="n"/>
      <c r="E77" s="22" t="n"/>
      <c r="F77" s="22" t="n"/>
      <c r="G77" s="22" t="n"/>
      <c r="H77" s="23">
        <f>IF(ISBLANK(A77),"",COUNT(C77:F77))</f>
        <v/>
      </c>
      <c r="I77" s="24">
        <f>IF(AND(ISNUMBER(B77),ISNUMBER(G76)),MOD(B77-G76,1),"")</f>
        <v/>
      </c>
      <c r="J77" s="25" t="n"/>
    </row>
    <row r="78">
      <c r="A78" s="26" t="n"/>
      <c r="B78" s="27" t="n"/>
      <c r="C78" s="27" t="n"/>
      <c r="D78" s="27" t="n"/>
      <c r="E78" s="27" t="n"/>
      <c r="F78" s="27" t="n"/>
      <c r="G78" s="27" t="n"/>
      <c r="H78" s="23">
        <f>IF(ISBLANK(A78),"",COUNT(C78:F78))</f>
        <v/>
      </c>
      <c r="I78" s="24">
        <f>IF(AND(ISNUMBER(B78),ISNUMBER(G77)),MOD(B78-G77,1),"")</f>
        <v/>
      </c>
      <c r="J78" s="28" t="n"/>
    </row>
    <row r="79">
      <c r="A79" s="21" t="n"/>
      <c r="B79" s="22" t="n"/>
      <c r="C79" s="22" t="n"/>
      <c r="D79" s="22" t="n"/>
      <c r="E79" s="22" t="n"/>
      <c r="F79" s="22" t="n"/>
      <c r="G79" s="22" t="n"/>
      <c r="H79" s="23">
        <f>IF(ISBLANK(A79),"",COUNT(C79:F79))</f>
        <v/>
      </c>
      <c r="I79" s="24">
        <f>IF(AND(ISNUMBER(B79),ISNUMBER(G78)),MOD(B79-G78,1),"")</f>
        <v/>
      </c>
      <c r="J79" s="25" t="n"/>
    </row>
    <row r="80">
      <c r="A80" s="26" t="n"/>
      <c r="B80" s="27" t="n"/>
      <c r="C80" s="27" t="n"/>
      <c r="D80" s="27" t="n"/>
      <c r="E80" s="27" t="n"/>
      <c r="F80" s="27" t="n"/>
      <c r="G80" s="27" t="n"/>
      <c r="H80" s="23">
        <f>IF(ISBLANK(A80),"",COUNT(C80:F80))</f>
        <v/>
      </c>
      <c r="I80" s="24">
        <f>IF(AND(ISNUMBER(B80),ISNUMBER(G79)),MOD(B80-G79,1),"")</f>
        <v/>
      </c>
      <c r="J80" s="28" t="n"/>
    </row>
    <row r="81">
      <c r="A81" s="21" t="n"/>
      <c r="B81" s="22" t="n"/>
      <c r="C81" s="22" t="n"/>
      <c r="D81" s="22" t="n"/>
      <c r="E81" s="22" t="n"/>
      <c r="F81" s="22" t="n"/>
      <c r="G81" s="22" t="n"/>
      <c r="H81" s="23">
        <f>IF(ISBLANK(A81),"",COUNT(C81:F81))</f>
        <v/>
      </c>
      <c r="I81" s="24">
        <f>IF(AND(ISNUMBER(B81),ISNUMBER(G80)),MOD(B81-G80,1),"")</f>
        <v/>
      </c>
      <c r="J81" s="25" t="n"/>
    </row>
    <row r="82">
      <c r="A82" s="26" t="n"/>
      <c r="B82" s="27" t="n"/>
      <c r="C82" s="27" t="n"/>
      <c r="D82" s="27" t="n"/>
      <c r="E82" s="27" t="n"/>
      <c r="F82" s="27" t="n"/>
      <c r="G82" s="27" t="n"/>
      <c r="H82" s="23">
        <f>IF(ISBLANK(A82),"",COUNT(C82:F82))</f>
        <v/>
      </c>
      <c r="I82" s="24">
        <f>IF(AND(ISNUMBER(B82),ISNUMBER(G81)),MOD(B82-G81,1),"")</f>
        <v/>
      </c>
      <c r="J82" s="28" t="n"/>
    </row>
    <row r="83">
      <c r="A83" s="21" t="n"/>
      <c r="B83" s="22" t="n"/>
      <c r="C83" s="22" t="n"/>
      <c r="D83" s="22" t="n"/>
      <c r="E83" s="22" t="n"/>
      <c r="F83" s="22" t="n"/>
      <c r="G83" s="22" t="n"/>
      <c r="H83" s="23">
        <f>IF(ISBLANK(A83),"",COUNT(C83:F83))</f>
        <v/>
      </c>
      <c r="I83" s="24">
        <f>IF(AND(ISNUMBER(B83),ISNUMBER(G82)),MOD(B83-G82,1),"")</f>
        <v/>
      </c>
      <c r="J83" s="25" t="n"/>
    </row>
    <row r="84">
      <c r="A84" s="26" t="n"/>
      <c r="B84" s="27" t="n"/>
      <c r="C84" s="27" t="n"/>
      <c r="D84" s="27" t="n"/>
      <c r="E84" s="27" t="n"/>
      <c r="F84" s="27" t="n"/>
      <c r="G84" s="27" t="n"/>
      <c r="H84" s="23">
        <f>IF(ISBLANK(A84),"",COUNT(C84:F84))</f>
        <v/>
      </c>
      <c r="I84" s="24">
        <f>IF(AND(ISNUMBER(B84),ISNUMBER(G83)),MOD(B84-G83,1),"")</f>
        <v/>
      </c>
      <c r="J84" s="28" t="n"/>
    </row>
    <row r="85">
      <c r="A85" s="21" t="n"/>
      <c r="B85" s="22" t="n"/>
      <c r="C85" s="22" t="n"/>
      <c r="D85" s="22" t="n"/>
      <c r="E85" s="22" t="n"/>
      <c r="F85" s="22" t="n"/>
      <c r="G85" s="22" t="n"/>
      <c r="H85" s="23">
        <f>IF(ISBLANK(A85),"",COUNT(C85:F85))</f>
        <v/>
      </c>
      <c r="I85" s="24">
        <f>IF(AND(ISNUMBER(B85),ISNUMBER(G84)),MOD(B85-G84,1),"")</f>
        <v/>
      </c>
      <c r="J85" s="25" t="n"/>
    </row>
    <row r="86">
      <c r="A86" s="26" t="n"/>
      <c r="B86" s="27" t="n"/>
      <c r="C86" s="27" t="n"/>
      <c r="D86" s="27" t="n"/>
      <c r="E86" s="27" t="n"/>
      <c r="F86" s="27" t="n"/>
      <c r="G86" s="27" t="n"/>
      <c r="H86" s="23">
        <f>IF(ISBLANK(A86),"",COUNT(C86:F86))</f>
        <v/>
      </c>
      <c r="I86" s="24">
        <f>IF(AND(ISNUMBER(B86),ISNUMBER(G85)),MOD(B86-G85,1),"")</f>
        <v/>
      </c>
      <c r="J86" s="28" t="n"/>
    </row>
    <row r="87">
      <c r="A87" s="21" t="n"/>
      <c r="B87" s="22" t="n"/>
      <c r="C87" s="22" t="n"/>
      <c r="D87" s="22" t="n"/>
      <c r="E87" s="22" t="n"/>
      <c r="F87" s="22" t="n"/>
      <c r="G87" s="22" t="n"/>
      <c r="H87" s="23">
        <f>IF(ISBLANK(A87),"",COUNT(C87:F87))</f>
        <v/>
      </c>
      <c r="I87" s="24">
        <f>IF(AND(ISNUMBER(B87),ISNUMBER(G86)),MOD(B87-G86,1),"")</f>
        <v/>
      </c>
      <c r="J87" s="25" t="n"/>
    </row>
    <row r="88">
      <c r="A88" s="26" t="n"/>
      <c r="B88" s="27" t="n"/>
      <c r="C88" s="27" t="n"/>
      <c r="D88" s="27" t="n"/>
      <c r="E88" s="27" t="n"/>
      <c r="F88" s="27" t="n"/>
      <c r="G88" s="27" t="n"/>
      <c r="H88" s="23">
        <f>IF(ISBLANK(A88),"",COUNT(C88:F88))</f>
        <v/>
      </c>
      <c r="I88" s="24">
        <f>IF(AND(ISNUMBER(B88),ISNUMBER(G87)),MOD(B88-G87,1),"")</f>
        <v/>
      </c>
      <c r="J88" s="28" t="n"/>
    </row>
    <row r="89">
      <c r="A89" s="21" t="n"/>
      <c r="B89" s="22" t="n"/>
      <c r="C89" s="22" t="n"/>
      <c r="D89" s="22" t="n"/>
      <c r="E89" s="22" t="n"/>
      <c r="F89" s="22" t="n"/>
      <c r="G89" s="22" t="n"/>
      <c r="H89" s="23">
        <f>IF(ISBLANK(A89),"",COUNT(C89:F89))</f>
        <v/>
      </c>
      <c r="I89" s="24">
        <f>IF(AND(ISNUMBER(B89),ISNUMBER(G88)),MOD(B89-G88,1),"")</f>
        <v/>
      </c>
      <c r="J89" s="25" t="n"/>
    </row>
    <row r="90">
      <c r="A90" s="26" t="n"/>
      <c r="B90" s="27" t="n"/>
      <c r="C90" s="27" t="n"/>
      <c r="D90" s="27" t="n"/>
      <c r="E90" s="27" t="n"/>
      <c r="F90" s="27" t="n"/>
      <c r="G90" s="27" t="n"/>
      <c r="H90" s="23">
        <f>IF(ISBLANK(A90),"",COUNT(C90:F90))</f>
        <v/>
      </c>
      <c r="I90" s="24">
        <f>IF(AND(ISNUMBER(B90),ISNUMBER(G89)),MOD(B90-G89,1),"")</f>
        <v/>
      </c>
      <c r="J90" s="28" t="n"/>
    </row>
    <row r="91">
      <c r="A91" s="21" t="n"/>
      <c r="B91" s="22" t="n"/>
      <c r="C91" s="22" t="n"/>
      <c r="D91" s="22" t="n"/>
      <c r="E91" s="22" t="n"/>
      <c r="F91" s="22" t="n"/>
      <c r="G91" s="22" t="n"/>
      <c r="H91" s="23">
        <f>IF(ISBLANK(A91),"",COUNT(C91:F91))</f>
        <v/>
      </c>
      <c r="I91" s="24">
        <f>IF(AND(ISNUMBER(B91),ISNUMBER(G90)),MOD(B91-G90,1),"")</f>
        <v/>
      </c>
      <c r="J91" s="25" t="n"/>
    </row>
    <row r="92">
      <c r="A92" s="26" t="n"/>
      <c r="B92" s="27" t="n"/>
      <c r="C92" s="27" t="n"/>
      <c r="D92" s="27" t="n"/>
      <c r="E92" s="27" t="n"/>
      <c r="F92" s="27" t="n"/>
      <c r="G92" s="27" t="n"/>
      <c r="H92" s="23">
        <f>IF(ISBLANK(A92),"",COUNT(C92:F92))</f>
        <v/>
      </c>
      <c r="I92" s="24">
        <f>IF(AND(ISNUMBER(B92),ISNUMBER(G91)),MOD(B92-G91,1),"")</f>
        <v/>
      </c>
      <c r="J92" s="28" t="n"/>
    </row>
    <row r="93">
      <c r="A93" s="21" t="n"/>
      <c r="B93" s="22" t="n"/>
      <c r="C93" s="22" t="n"/>
      <c r="D93" s="22" t="n"/>
      <c r="E93" s="22" t="n"/>
      <c r="F93" s="22" t="n"/>
      <c r="G93" s="22" t="n"/>
      <c r="H93" s="23">
        <f>IF(ISBLANK(A93),"",COUNT(C93:F93))</f>
        <v/>
      </c>
      <c r="I93" s="24">
        <f>IF(AND(ISNUMBER(B93),ISNUMBER(G92)),MOD(B93-G92,1),"")</f>
        <v/>
      </c>
      <c r="J93" s="25" t="n"/>
    </row>
    <row r="94">
      <c r="A94" s="26" t="n"/>
      <c r="B94" s="27" t="n"/>
      <c r="C94" s="27" t="n"/>
      <c r="D94" s="27" t="n"/>
      <c r="E94" s="27" t="n"/>
      <c r="F94" s="27" t="n"/>
      <c r="G94" s="27" t="n"/>
      <c r="H94" s="23">
        <f>IF(ISBLANK(A94),"",COUNT(C94:F94))</f>
        <v/>
      </c>
      <c r="I94" s="24">
        <f>IF(AND(ISNUMBER(B94),ISNUMBER(G93)),MOD(B94-G93,1),"")</f>
        <v/>
      </c>
      <c r="J94" s="28" t="n"/>
    </row>
    <row r="95">
      <c r="A95" s="21" t="n"/>
      <c r="B95" s="22" t="n"/>
      <c r="C95" s="22" t="n"/>
      <c r="D95" s="22" t="n"/>
      <c r="E95" s="22" t="n"/>
      <c r="F95" s="22" t="n"/>
      <c r="G95" s="22" t="n"/>
      <c r="H95" s="23">
        <f>IF(ISBLANK(A95),"",COUNT(C95:F95))</f>
        <v/>
      </c>
      <c r="I95" s="24">
        <f>IF(AND(ISNUMBER(B95),ISNUMBER(G94)),MOD(B95-G94,1),"")</f>
        <v/>
      </c>
      <c r="J95" s="25" t="n"/>
    </row>
    <row r="96">
      <c r="A96" s="26" t="n"/>
      <c r="B96" s="27" t="n"/>
      <c r="C96" s="27" t="n"/>
      <c r="D96" s="27" t="n"/>
      <c r="E96" s="27" t="n"/>
      <c r="F96" s="27" t="n"/>
      <c r="G96" s="27" t="n"/>
      <c r="H96" s="23">
        <f>IF(ISBLANK(A96),"",COUNT(C96:F96))</f>
        <v/>
      </c>
      <c r="I96" s="24">
        <f>IF(AND(ISNUMBER(B96),ISNUMBER(G95)),MOD(B96-G95,1),"")</f>
        <v/>
      </c>
      <c r="J96" s="28" t="n"/>
    </row>
    <row r="97">
      <c r="A97" s="21" t="n"/>
      <c r="B97" s="22" t="n"/>
      <c r="C97" s="22" t="n"/>
      <c r="D97" s="22" t="n"/>
      <c r="E97" s="22" t="n"/>
      <c r="F97" s="22" t="n"/>
      <c r="G97" s="22" t="n"/>
      <c r="H97" s="23">
        <f>IF(ISBLANK(A97),"",COUNT(C97:F97))</f>
        <v/>
      </c>
      <c r="I97" s="24">
        <f>IF(AND(ISNUMBER(B97),ISNUMBER(G96)),MOD(B97-G96,1),"")</f>
        <v/>
      </c>
      <c r="J97" s="25" t="n"/>
    </row>
    <row r="98">
      <c r="A98" s="26" t="n"/>
      <c r="B98" s="27" t="n"/>
      <c r="C98" s="27" t="n"/>
      <c r="D98" s="27" t="n"/>
      <c r="E98" s="27" t="n"/>
      <c r="F98" s="27" t="n"/>
      <c r="G98" s="27" t="n"/>
      <c r="H98" s="23">
        <f>IF(ISBLANK(A98),"",COUNT(C98:F98))</f>
        <v/>
      </c>
      <c r="I98" s="24">
        <f>IF(AND(ISNUMBER(B98),ISNUMBER(G97)),MOD(B98-G97,1),"")</f>
        <v/>
      </c>
      <c r="J98" s="28" t="n"/>
    </row>
    <row r="99">
      <c r="A99" s="21" t="n"/>
      <c r="B99" s="22" t="n"/>
      <c r="C99" s="22" t="n"/>
      <c r="D99" s="22" t="n"/>
      <c r="E99" s="22" t="n"/>
      <c r="F99" s="22" t="n"/>
      <c r="G99" s="22" t="n"/>
      <c r="H99" s="23">
        <f>IF(ISBLANK(A99),"",COUNT(C99:F99))</f>
        <v/>
      </c>
      <c r="I99" s="24">
        <f>IF(AND(ISNUMBER(B99),ISNUMBER(G98)),MOD(B99-G98,1),"")</f>
        <v/>
      </c>
      <c r="J99" s="25" t="n"/>
    </row>
    <row r="100">
      <c r="A100" s="26" t="n"/>
      <c r="B100" s="27" t="n"/>
      <c r="C100" s="27" t="n"/>
      <c r="D100" s="27" t="n"/>
      <c r="E100" s="27" t="n"/>
      <c r="F100" s="27" t="n"/>
      <c r="G100" s="27" t="n"/>
      <c r="H100" s="23">
        <f>IF(ISBLANK(A100),"",COUNT(C100:F100))</f>
        <v/>
      </c>
      <c r="I100" s="24">
        <f>IF(AND(ISNUMBER(B100),ISNUMBER(G99)),MOD(B100-G99,1),"")</f>
        <v/>
      </c>
      <c r="J100" s="28" t="n"/>
    </row>
    <row r="101">
      <c r="A101" s="21" t="n"/>
      <c r="B101" s="22" t="n"/>
      <c r="C101" s="22" t="n"/>
      <c r="D101" s="22" t="n"/>
      <c r="E101" s="22" t="n"/>
      <c r="F101" s="22" t="n"/>
      <c r="G101" s="22" t="n"/>
      <c r="H101" s="23">
        <f>IF(ISBLANK(A101),"",COUNT(C101:F101))</f>
        <v/>
      </c>
      <c r="I101" s="24">
        <f>IF(AND(ISNUMBER(B101),ISNUMBER(G100)),MOD(B101-G100,1),"")</f>
        <v/>
      </c>
      <c r="J101" s="25" t="n"/>
    </row>
    <row r="102">
      <c r="A102" s="26" t="n"/>
      <c r="B102" s="27" t="n"/>
      <c r="C102" s="27" t="n"/>
      <c r="D102" s="27" t="n"/>
      <c r="E102" s="27" t="n"/>
      <c r="F102" s="27" t="n"/>
      <c r="G102" s="27" t="n"/>
      <c r="H102" s="23">
        <f>IF(ISBLANK(A102),"",COUNT(C102:F102))</f>
        <v/>
      </c>
      <c r="I102" s="24">
        <f>IF(AND(ISNUMBER(B102),ISNUMBER(G101)),MOD(B102-G101,1),"")</f>
        <v/>
      </c>
      <c r="J102" s="28" t="n"/>
    </row>
    <row r="103">
      <c r="A103" s="21" t="n"/>
      <c r="B103" s="22" t="n"/>
      <c r="C103" s="22" t="n"/>
      <c r="D103" s="22" t="n"/>
      <c r="E103" s="22" t="n"/>
      <c r="F103" s="22" t="n"/>
      <c r="G103" s="22" t="n"/>
      <c r="H103" s="23">
        <f>IF(ISBLANK(A103),"",COUNT(C103:F103))</f>
        <v/>
      </c>
      <c r="I103" s="24">
        <f>IF(AND(ISNUMBER(B103),ISNUMBER(G102)),MOD(B103-G102,1),"")</f>
        <v/>
      </c>
      <c r="J103" s="25" t="n"/>
    </row>
    <row r="104">
      <c r="A104" s="26" t="n"/>
      <c r="B104" s="27" t="n"/>
      <c r="C104" s="27" t="n"/>
      <c r="D104" s="27" t="n"/>
      <c r="E104" s="27" t="n"/>
      <c r="F104" s="27" t="n"/>
      <c r="G104" s="27" t="n"/>
      <c r="H104" s="23">
        <f>IF(ISBLANK(A104),"",COUNT(C104:F104))</f>
        <v/>
      </c>
      <c r="I104" s="24">
        <f>IF(AND(ISNUMBER(B104),ISNUMBER(G103)),MOD(B104-G103,1),"")</f>
        <v/>
      </c>
      <c r="J104" s="28" t="n"/>
    </row>
    <row r="105">
      <c r="A105" s="21" t="n"/>
      <c r="B105" s="22" t="n"/>
      <c r="C105" s="22" t="n"/>
      <c r="D105" s="22" t="n"/>
      <c r="E105" s="22" t="n"/>
      <c r="F105" s="22" t="n"/>
      <c r="G105" s="22" t="n"/>
      <c r="H105" s="23">
        <f>IF(ISBLANK(A105),"",COUNT(C105:F105))</f>
        <v/>
      </c>
      <c r="I105" s="24">
        <f>IF(AND(ISNUMBER(B105),ISNUMBER(G104)),MOD(B105-G104,1),"")</f>
        <v/>
      </c>
      <c r="J105" s="25" t="n"/>
    </row>
    <row r="106">
      <c r="A106" s="26" t="n"/>
      <c r="B106" s="27" t="n"/>
      <c r="C106" s="27" t="n"/>
      <c r="D106" s="27" t="n"/>
      <c r="E106" s="27" t="n"/>
      <c r="F106" s="27" t="n"/>
      <c r="G106" s="27" t="n"/>
      <c r="H106" s="23">
        <f>IF(ISBLANK(A106),"",COUNT(C106:F106))</f>
        <v/>
      </c>
      <c r="I106" s="24">
        <f>IF(AND(ISNUMBER(B106),ISNUMBER(G105)),MOD(B106-G105,1),"")</f>
        <v/>
      </c>
      <c r="J106" s="28" t="n"/>
    </row>
    <row r="107">
      <c r="A107" s="21" t="n"/>
      <c r="B107" s="22" t="n"/>
      <c r="C107" s="22" t="n"/>
      <c r="D107" s="22" t="n"/>
      <c r="E107" s="22" t="n"/>
      <c r="F107" s="22" t="n"/>
      <c r="G107" s="22" t="n"/>
      <c r="H107" s="23">
        <f>IF(ISBLANK(A107),"",COUNT(C107:F107))</f>
        <v/>
      </c>
      <c r="I107" s="24">
        <f>IF(AND(ISNUMBER(B107),ISNUMBER(G106)),MOD(B107-G106,1),"")</f>
        <v/>
      </c>
      <c r="J107" s="25" t="n"/>
    </row>
    <row r="108">
      <c r="A108" s="26" t="n"/>
      <c r="B108" s="27" t="n"/>
      <c r="C108" s="27" t="n"/>
      <c r="D108" s="27" t="n"/>
      <c r="E108" s="27" t="n"/>
      <c r="F108" s="27" t="n"/>
      <c r="G108" s="27" t="n"/>
      <c r="H108" s="23">
        <f>IF(ISBLANK(A108),"",COUNT(C108:F108))</f>
        <v/>
      </c>
      <c r="I108" s="24">
        <f>IF(AND(ISNUMBER(B108),ISNUMBER(G107)),MOD(B108-G107,1),"")</f>
        <v/>
      </c>
      <c r="J108" s="28" t="n"/>
    </row>
    <row r="109">
      <c r="A109" s="21" t="n"/>
      <c r="B109" s="22" t="n"/>
      <c r="C109" s="22" t="n"/>
      <c r="D109" s="22" t="n"/>
      <c r="E109" s="22" t="n"/>
      <c r="F109" s="22" t="n"/>
      <c r="G109" s="22" t="n"/>
      <c r="H109" s="23">
        <f>IF(ISBLANK(A109),"",COUNT(C109:F109))</f>
        <v/>
      </c>
      <c r="I109" s="24">
        <f>IF(AND(ISNUMBER(B109),ISNUMBER(G108)),MOD(B109-G108,1),"")</f>
        <v/>
      </c>
      <c r="J109" s="25" t="n"/>
    </row>
    <row r="110">
      <c r="A110" s="26" t="n"/>
      <c r="B110" s="27" t="n"/>
      <c r="C110" s="27" t="n"/>
      <c r="D110" s="27" t="n"/>
      <c r="E110" s="27" t="n"/>
      <c r="F110" s="27" t="n"/>
      <c r="G110" s="27" t="n"/>
      <c r="H110" s="23">
        <f>IF(ISBLANK(A110),"",COUNT(C110:F110))</f>
        <v/>
      </c>
      <c r="I110" s="24">
        <f>IF(AND(ISNUMBER(B110),ISNUMBER(G109)),MOD(B110-G109,1),"")</f>
        <v/>
      </c>
      <c r="J110" s="28" t="n"/>
    </row>
  </sheetData>
  <mergeCells count="6">
    <mergeCell ref="A7:B7"/>
    <mergeCell ref="A5:B5"/>
    <mergeCell ref="A4:J4"/>
    <mergeCell ref="A9:B9"/>
    <mergeCell ref="A8:B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0" t="inlineStr">
        <is>
          <t>Tranche d'âge</t>
        </is>
      </c>
      <c r="B1" s="20" t="inlineStr">
        <is>
          <t>Âge min (mois)</t>
        </is>
      </c>
      <c r="C1" s="20" t="inlineStr">
        <is>
          <t>Âge max (mois)</t>
        </is>
      </c>
      <c r="D1" s="20" t="inlineStr">
        <is>
          <t>Nb siestes</t>
        </is>
      </c>
      <c r="E1" s="20" t="inlineStr">
        <is>
          <t>Fenêtre éveil (min)</t>
        </is>
      </c>
      <c r="F1" s="20" t="inlineStr">
        <is>
          <t>Fenêtre avant coucher (min)</t>
        </is>
      </c>
      <c r="G1" s="20" t="inlineStr">
        <is>
          <t>Sommeil nuit (h)</t>
        </is>
      </c>
      <c r="H1" s="20" t="inlineStr">
        <is>
          <t>Sommeil jour total (h)</t>
        </is>
      </c>
    </row>
    <row r="2">
      <c r="A2" s="29" t="inlineStr">
        <is>
          <t>0-3 mois</t>
        </is>
      </c>
      <c r="B2" s="30" t="n">
        <v>0</v>
      </c>
      <c r="C2" s="30" t="n">
        <v>3</v>
      </c>
      <c r="D2" s="30" t="n">
        <v>4</v>
      </c>
      <c r="E2" s="30" t="n">
        <v>75</v>
      </c>
      <c r="F2" s="30" t="n">
        <v>60</v>
      </c>
      <c r="G2" s="30" t="n">
        <v>9</v>
      </c>
      <c r="H2" s="30" t="n">
        <v>7</v>
      </c>
    </row>
    <row r="3">
      <c r="A3" s="31" t="inlineStr">
        <is>
          <t>3-4 mois</t>
        </is>
      </c>
      <c r="B3" s="32" t="n">
        <v>3</v>
      </c>
      <c r="C3" s="32" t="n">
        <v>4</v>
      </c>
      <c r="D3" s="32" t="n">
        <v>4</v>
      </c>
      <c r="E3" s="32" t="n">
        <v>90</v>
      </c>
      <c r="F3" s="32" t="n">
        <v>90</v>
      </c>
      <c r="G3" s="32" t="n">
        <v>10</v>
      </c>
      <c r="H3" s="32" t="n">
        <v>5</v>
      </c>
    </row>
    <row r="4">
      <c r="A4" s="29" t="inlineStr">
        <is>
          <t>4-6 mois</t>
        </is>
      </c>
      <c r="B4" s="30" t="n">
        <v>4</v>
      </c>
      <c r="C4" s="30" t="n">
        <v>6</v>
      </c>
      <c r="D4" s="30" t="n">
        <v>3</v>
      </c>
      <c r="E4" s="30" t="n">
        <v>120</v>
      </c>
      <c r="F4" s="30" t="n">
        <v>120</v>
      </c>
      <c r="G4" s="30" t="n">
        <v>11</v>
      </c>
      <c r="H4" s="30" t="n">
        <v>3.5</v>
      </c>
    </row>
    <row r="5">
      <c r="A5" s="31" t="inlineStr">
        <is>
          <t>6-9 mois</t>
        </is>
      </c>
      <c r="B5" s="32" t="n">
        <v>6</v>
      </c>
      <c r="C5" s="32" t="n">
        <v>9</v>
      </c>
      <c r="D5" s="32" t="n">
        <v>3</v>
      </c>
      <c r="E5" s="32" t="n">
        <v>165</v>
      </c>
      <c r="F5" s="32" t="n">
        <v>180</v>
      </c>
      <c r="G5" s="32" t="n">
        <v>11</v>
      </c>
      <c r="H5" s="32" t="n">
        <v>3</v>
      </c>
    </row>
    <row r="6">
      <c r="A6" s="29" t="inlineStr">
        <is>
          <t>9-12 mois</t>
        </is>
      </c>
      <c r="B6" s="30" t="n">
        <v>9</v>
      </c>
      <c r="C6" s="30" t="n">
        <v>12</v>
      </c>
      <c r="D6" s="30" t="n">
        <v>2</v>
      </c>
      <c r="E6" s="30" t="n">
        <v>210</v>
      </c>
      <c r="F6" s="30" t="n">
        <v>240</v>
      </c>
      <c r="G6" s="30" t="n">
        <v>11</v>
      </c>
      <c r="H6" s="30" t="n">
        <v>2.5</v>
      </c>
    </row>
    <row r="7">
      <c r="A7" s="31" t="inlineStr">
        <is>
          <t>12-18 mois</t>
        </is>
      </c>
      <c r="B7" s="32" t="n">
        <v>12</v>
      </c>
      <c r="C7" s="32" t="n">
        <v>18</v>
      </c>
      <c r="D7" s="32" t="n">
        <v>2</v>
      </c>
      <c r="E7" s="32" t="n">
        <v>270</v>
      </c>
      <c r="F7" s="32" t="n">
        <v>300</v>
      </c>
      <c r="G7" s="32" t="n">
        <v>11</v>
      </c>
      <c r="H7" s="32" t="n">
        <v>2.5</v>
      </c>
    </row>
    <row r="8">
      <c r="A8" s="29" t="inlineStr">
        <is>
          <t>18-24 mois</t>
        </is>
      </c>
      <c r="B8" s="30" t="n">
        <v>18</v>
      </c>
      <c r="C8" s="30" t="n">
        <v>24</v>
      </c>
      <c r="D8" s="30" t="n">
        <v>1</v>
      </c>
      <c r="E8" s="30" t="n">
        <v>330</v>
      </c>
      <c r="F8" s="30" t="n">
        <v>330</v>
      </c>
      <c r="G8" s="30" t="n">
        <v>11</v>
      </c>
      <c r="H8" s="30" t="n">
        <v>2</v>
      </c>
    </row>
    <row r="9">
      <c r="A9" s="31" t="inlineStr">
        <is>
          <t>2-3 ans</t>
        </is>
      </c>
      <c r="B9" s="32" t="n">
        <v>24</v>
      </c>
      <c r="C9" s="32" t="n">
        <v>36</v>
      </c>
      <c r="D9" s="32" t="n">
        <v>1</v>
      </c>
      <c r="E9" s="32" t="n">
        <v>360</v>
      </c>
      <c r="F9" s="32" t="n">
        <v>360</v>
      </c>
      <c r="G9" s="32" t="n">
        <v>11</v>
      </c>
      <c r="H9" s="3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2026-05-13T23:19:41Z</dcterms:created>
  <dcterms:modified xmlns:dcterms="http://purl.org/dc/terms/" xmlns:xsi="http://www.w3.org/2001/XMLSchema-instance" xsi:type="dcterms:W3CDTF">2026-05-13T23:19:41Z</dcterms:modified>
</cp:coreProperties>
</file>